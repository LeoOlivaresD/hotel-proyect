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Resultad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<sst xmlns="http://schemas.openxmlformats.org/spreadsheetml/2006/main" count="102" uniqueCount="94">
  <si>
    <t xml:space="preserve">DEFINITION OF DONE — Sistema de Gestión de Reserva Hotelera</t>
  </si>
  <si>
    <t xml:space="preserve">RESUMEN POR CATEGORÍA</t>
  </si>
  <si>
    <t xml:space="preserve">ESCALA DE VALORES</t>
  </si>
  <si>
    <t xml:space="preserve">Valor 0</t>
  </si>
  <si>
    <t xml:space="preserve">Valor 1</t>
  </si>
  <si>
    <t xml:space="preserve">Valor 2</t>
  </si>
  <si>
    <t xml:space="preserve">Valor 3</t>
  </si>
  <si>
    <t xml:space="preserve">No cumplido</t>
  </si>
  <si>
    <t xml:space="preserve">A veces</t>
  </si>
  <si>
    <t xml:space="preserve">Frecuentemente</t>
  </si>
  <si>
    <t xml:space="preserve">Siempre</t>
  </si>
  <si>
    <t xml:space="preserve">0</t>
  </si>
  <si>
    <t xml:space="preserve">1</t>
  </si>
  <si>
    <t xml:space="preserve">2</t>
  </si>
  <si>
    <t xml:space="preserve">3</t>
  </si>
  <si>
    <t xml:space="preserve">CATEGORÍA</t>
  </si>
  <si>
    <t xml:space="preserve">COMPONENTE / VISTA</t>
  </si>
  <si>
    <t xml:space="preserve">CRITERIO DOD</t>
  </si>
  <si>
    <t xml:space="preserve">VALOR</t>
  </si>
  <si>
    <t xml:space="preserve">MEDIA</t>
  </si>
  <si>
    <t xml:space="preserve">ARTEFACTOS</t>
  </si>
  <si>
    <t xml:space="preserve">Vista Escenario
(Caso de Uso)</t>
  </si>
  <si>
    <t xml:space="preserve">El diagrama de caso de uso representa correctamente actores, casos y relaciones del sistema hotelero.</t>
  </si>
  <si>
    <t xml:space="preserve">Los casos de uso están validados con el Product Owner (George Solo) y los stakeholders.</t>
  </si>
  <si>
    <t xml:space="preserve">Vista Escenario (Caso de Uso)</t>
  </si>
  <si>
    <t xml:space="preserve">El diagrama está versionado en el repositorio Git con mínimo 3 commits.</t>
  </si>
  <si>
    <t xml:space="preserve">Vista de Procesos (Actividad)</t>
  </si>
  <si>
    <t xml:space="preserve">El artefacto fue cargado en Trello en estado 'Revisión'.</t>
  </si>
  <si>
    <t xml:space="preserve">Vista Lógica (Clases)</t>
  </si>
  <si>
    <t xml:space="preserve">Vista de Procesos
(Diagrama de Actividad)</t>
  </si>
  <si>
    <t xml:space="preserve">El diagrama de actividad modela correctamente el flujo de reserva de habitación (inicio → pago → QR).</t>
  </si>
  <si>
    <t xml:space="preserve">Vista Despliegue (Componentes)</t>
  </si>
  <si>
    <t xml:space="preserve">Los flujos paralelos y secuenciales del Roadmap están reflejados en el diagrama.</t>
  </si>
  <si>
    <t xml:space="preserve">Total ARTEFACTOS</t>
  </si>
  <si>
    <t xml:space="preserve">El artefacto está versionado en Git y cargado en Trello.</t>
  </si>
  <si>
    <t xml:space="preserve">PROTOTIPO</t>
  </si>
  <si>
    <t xml:space="preserve">El diagrama cumple el estándar UML 2.0.</t>
  </si>
  <si>
    <t xml:space="preserve">Dashboard Administración</t>
  </si>
  <si>
    <t xml:space="preserve">Vista Lógica
(Diagrama de Clases)</t>
  </si>
  <si>
    <t xml:space="preserve">El diagrama de clases refleja las entidades: Reserva, Habitación, Cliente, Pago, Empleado.</t>
  </si>
  <si>
    <t xml:space="preserve">Listado / Búsqueda de Habitaciones</t>
  </si>
  <si>
    <t xml:space="preserve">Las relaciones (herencia, asociación, composición) están correctamente tipadas.</t>
  </si>
  <si>
    <t xml:space="preserve">Formulario de Reserva</t>
  </si>
  <si>
    <t xml:space="preserve">Los atributos y métodos de cada clase son coherentes con el CRUD del negocio.</t>
  </si>
  <si>
    <t xml:space="preserve">Total PROTOTIPO</t>
  </si>
  <si>
    <t xml:space="preserve">GIT &amp; HERRAMIENTAS</t>
  </si>
  <si>
    <t xml:space="preserve">Vista Despliegue
(Diagrama de Componentes)</t>
  </si>
  <si>
    <t xml:space="preserve">El diagrama de componentes representa las 4 capas: Presentación, Lógica, Acceso a Datos y BD.</t>
  </si>
  <si>
    <t xml:space="preserve">Control de Versiones (Git)</t>
  </si>
  <si>
    <t xml:space="preserve">Los componentes front-end (vistas) y back-end (servicios) están correctamente diferenciados.</t>
  </si>
  <si>
    <t xml:space="preserve">Trello</t>
  </si>
  <si>
    <t xml:space="preserve">Se especifican las interfaces de comunicación entre capas (REST, ORM, JDBC).</t>
  </si>
  <si>
    <t xml:space="preserve">Total GIT &amp; HERRAMIENTAS</t>
  </si>
  <si>
    <t xml:space="preserve">CUMPLIMIENTO GLOBAL DOD</t>
  </si>
  <si>
    <t xml:space="preserve">PROTOTIPO
(Vistas UI)</t>
  </si>
  <si>
    <t xml:space="preserve">Dashboard
Administración</t>
  </si>
  <si>
    <t xml:space="preserve">El dashboard muestra KPIs: reservas activas, habitaciones ocupadas, ingresos del mes, check-ins.</t>
  </si>
  <si>
    <t xml:space="preserve">La tabla de últimas reservas muestra estados (Confirmada, Pendiente, Cancelada) con colores.</t>
  </si>
  <si>
    <t xml:space="preserve">El gráfico de ocupación por tipo de habitación está implementado.</t>
  </si>
  <si>
    <t xml:space="preserve">La vista cumple criterios de accesibilidad y usabilidad (contraste, jerarquía visual).</t>
  </si>
  <si>
    <t xml:space="preserve">Listado / Búsqueda
de Habitaciones</t>
  </si>
  <si>
    <t xml:space="preserve">Las habitaciones se muestran en tarjetas con número, tipo, precio, amenidades y estado.</t>
  </si>
  <si>
    <t xml:space="preserve">Los filtros por estado (Disponible, Ocupada, Mantenimiento) y tipo funcionan correctamente.</t>
  </si>
  <si>
    <t xml:space="preserve">El buscador permite filtrar por número de habitación o tipo.</t>
  </si>
  <si>
    <t xml:space="preserve">El badge de estado usa colores semánticos (verde, rojo, amarillo).</t>
  </si>
  <si>
    <t xml:space="preserve">Formulario
de Reserva</t>
  </si>
  <si>
    <t xml:space="preserve">El formulario captura: datos del cliente, habitación, fechas, nro. huéspedes y método de pago.</t>
  </si>
  <si>
    <t xml:space="preserve">El panel lateral de resumen muestra precio/noche, noches, impuesto y total dinámicamente.</t>
  </si>
  <si>
    <t xml:space="preserve">Los campos tienen validación (fechas, email, RUT).</t>
  </si>
  <si>
    <t xml:space="preserve">Se envía confirmación por correo al confirmar la reserva.</t>
  </si>
  <si>
    <t xml:space="preserve">GIT &amp;
HERRAMIENTAS</t>
  </si>
  <si>
    <t xml:space="preserve">Control de Versiones
(Git)</t>
  </si>
  <si>
    <t xml:space="preserve">El repositorio tiene mínimo 3 commits por elemento de diseño desarrollado.</t>
  </si>
  <si>
    <t xml:space="preserve">Los commits tienen mensajes descriptivos y están asociados a las historias de usuario.</t>
  </si>
  <si>
    <t xml:space="preserve">La URL pública del repositorio está compartida con el instructor.</t>
  </si>
  <si>
    <t xml:space="preserve">Los archivos fuente de los diseños (imágenes, Figma exports) están en el repositorio.</t>
  </si>
  <si>
    <t xml:space="preserve">Las tarjetas de diseño están en estado 'Revisión' con imágenes adjuntas.</t>
  </si>
  <si>
    <t xml:space="preserve">El tablero refleja el avance real del sprint (columnas: To Do, In Progress, Done).</t>
  </si>
  <si>
    <t xml:space="preserve">El video narrativo (3-5 min) está adjunto como link en el tablero.</t>
  </si>
  <si>
    <t xml:space="preserve">El acceso al tablero fue compartido con el instructor.</t>
  </si>
  <si>
    <t xml:space="preserve">RESULTADOS DOD — Sistema de Gestión de Reserva Hotelera</t>
  </si>
  <si>
    <t xml:space="preserve">Categoría</t>
  </si>
  <si>
    <t xml:space="preserve">Cumplimiento</t>
  </si>
  <si>
    <t xml:space="preserve">Estado</t>
  </si>
  <si>
    <t xml:space="preserve">Artefactos — Vista Escenario</t>
  </si>
  <si>
    <t xml:space="preserve">Artefactos — Vista de Procesos</t>
  </si>
  <si>
    <t xml:space="preserve">Artefactos — Vista Lógica</t>
  </si>
  <si>
    <t xml:space="preserve">Artefactos — Vista Despliegue</t>
  </si>
  <si>
    <t xml:space="preserve">Prototipo — Dashboard</t>
  </si>
  <si>
    <t xml:space="preserve">Prototipo — Listado Habitaciones</t>
  </si>
  <si>
    <t xml:space="preserve">Prototipo — Formulario Reserva</t>
  </si>
  <si>
    <t xml:space="preserve">Git — Control de Versiones</t>
  </si>
  <si>
    <t xml:space="preserve">Git — Trello</t>
  </si>
  <si>
    <t xml:space="preserve">CUMPLIMIENTO GLOBAL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</si>
</sst>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70AD47"/>
      <name val="Arial"/>
      <family val="0"/>
      <charset val="1"/>
    </font>
    <font>
      <b val="true"/>
      <sz val="11"/>
      <color rgb="FFFFCC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2E4057"/>
        <bgColor rgb="FF1F3864"/>
      </patternFill>
    </fill>
    <fill>
      <patternFill patternType="solid">
        <fgColor rgb="FFFF0000"/>
        <bgColor rgb="FFC00000"/>
      </patternFill>
    </fill>
    <fill>
      <patternFill patternType="solid">
        <fgColor rgb="FFFF9900"/>
        <bgColor rgb="FFFFCC00"/>
      </patternFill>
    </fill>
    <fill>
      <patternFill patternType="solid">
        <fgColor rgb="FFFFCC00"/>
        <bgColor rgb="FFFFFF00"/>
      </patternFill>
    </fill>
    <fill>
      <patternFill patternType="solid">
        <fgColor rgb="FF70AD47"/>
        <bgColor rgb="FF339966"/>
      </patternFill>
    </fill>
    <fill>
      <patternFill patternType="solid">
        <fgColor rgb="FF1F3864"/>
        <bgColor rgb="FF2E4057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AFAFA"/>
        <bgColor rgb="FFFFFFFF"/>
      </patternFill>
    </fill>
    <fill>
      <patternFill patternType="solid">
        <fgColor rgb="FFECECEC"/>
        <bgColor rgb="FFEDE7F6"/>
      </patternFill>
    </fill>
    <fill>
      <patternFill patternType="solid">
        <fgColor rgb="FFEEF4FB"/>
        <bgColor rgb="FFF2F2F2"/>
      </patternFill>
    </fill>
    <fill>
      <patternFill patternType="solid">
        <fgColor rgb="FFE7E6E6"/>
        <bgColor rgb="FFECECEC"/>
      </patternFill>
    </fill>
    <fill>
      <patternFill patternType="solid">
        <fgColor rgb="FFE2EFDA"/>
        <bgColor rgb="FFECECEC"/>
      </patternFill>
    </fill>
    <fill>
      <patternFill patternType="solid">
        <fgColor rgb="FFFCE4D6"/>
        <bgColor rgb="FFE7E6E6"/>
      </patternFill>
    </fill>
    <fill>
      <patternFill patternType="solid">
        <fgColor rgb="FFEDE7F6"/>
        <bgColor rgb="FFECECEC"/>
      </patternFill>
    </fill>
    <fill>
      <patternFill patternType="solid">
        <fgColor rgb="FFC00000"/>
        <bgColor rgb="FFFF0000"/>
      </patternFill>
    </fill>
    <fill>
      <patternFill patternType="solid">
        <fgColor rgb="FFF2F2F2"/>
        <bgColor rgb="FFEEF4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AFAFA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E2EFDA"/>
      <rgbColor rgb="FFF2F2F2"/>
      <rgbColor rgb="FFE7E6E6"/>
      <rgbColor rgb="FFEDE7F6"/>
      <rgbColor rgb="FFECECEC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9"/>
    <col collapsed="false" customWidth="true" hidden="false" outlineLevel="0" max="5" min="5" style="0" width="2"/>
    <col collapsed="false" customWidth="true" hidden="false" outlineLevel="0" max="6" min="6" style="0" width="22"/>
    <col collapsed="false" customWidth="true" hidden="false" outlineLevel="0" max="8" min="7" style="0" width="2"/>
    <col collapsed="false" customWidth="true" hidden="false" outlineLevel="0" max="9" min="9" style="0" width="12"/>
    <col collapsed="false" customWidth="true" hidden="false" outlineLevel="0" max="11" min="10" style="0" width="2"/>
    <col collapsed="false" customWidth="true" hidden="false" outlineLevel="0" max="13" min="12" style="0" width="10"/>
    <col collapsed="false" customWidth="true" hidden="false" outlineLevel="0" max="14" min="14" style="0" width="14"/>
    <col collapsed="false" customWidth="true" hidden="false" outlineLevel="0" max="15" min="15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F1" s="1" t="s">
        <v>1</v>
      </c>
      <c r="G1" s="1"/>
      <c r="H1" s="1"/>
      <c r="I1" s="1"/>
      <c r="L1" s="1" t="s">
        <v>2</v>
      </c>
      <c r="M1" s="1"/>
      <c r="N1" s="1"/>
      <c r="O1" s="1"/>
    </row>
    <row r="2" customFormat="false" ht="18" hidden="false" customHeight="true" outlineLevel="0" collapsed="false">
      <c r="L2" s="2" t="s">
        <v>3</v>
      </c>
      <c r="M2" s="3" t="s">
        <v>4</v>
      </c>
      <c r="N2" s="4" t="s">
        <v>5</v>
      </c>
      <c r="O2" s="5" t="s">
        <v>6</v>
      </c>
    </row>
    <row r="3" customFormat="false" ht="18" hidden="false" customHeight="true" outlineLevel="0" collapsed="false">
      <c r="L3" s="2" t="s">
        <v>7</v>
      </c>
      <c r="M3" s="3" t="s">
        <v>8</v>
      </c>
      <c r="N3" s="4" t="s">
        <v>9</v>
      </c>
      <c r="O3" s="5" t="s">
        <v>10</v>
      </c>
    </row>
    <row r="4" customFormat="false" ht="18" hidden="false" customHeight="true" outlineLevel="0" collapsed="false">
      <c r="L4" s="2" t="s">
        <v>11</v>
      </c>
      <c r="M4" s="3" t="s">
        <v>12</v>
      </c>
      <c r="N4" s="4" t="s">
        <v>13</v>
      </c>
      <c r="O4" s="5" t="s">
        <v>14</v>
      </c>
    </row>
    <row r="5" customFormat="false" ht="18" hidden="false" customHeight="true" outlineLevel="0" collapsed="false">
      <c r="A5" s="6" t="s">
        <v>15</v>
      </c>
      <c r="B5" s="6" t="s">
        <v>16</v>
      </c>
      <c r="C5" s="6" t="s">
        <v>17</v>
      </c>
      <c r="D5" s="6" t="s">
        <v>18</v>
      </c>
      <c r="F5" s="6" t="s">
        <v>15</v>
      </c>
      <c r="I5" s="6" t="s">
        <v>19</v>
      </c>
    </row>
    <row r="6" customFormat="false" ht="30" hidden="false" customHeight="true" outlineLevel="0" collapsed="false">
      <c r="A6" s="7" t="s">
        <v>20</v>
      </c>
      <c r="B6" s="8" t="s">
        <v>21</v>
      </c>
      <c r="C6" s="9" t="s">
        <v>22</v>
      </c>
      <c r="D6" s="10" t="n">
        <v>3</v>
      </c>
      <c r="F6" s="11" t="s">
        <v>20</v>
      </c>
      <c r="G6" s="11"/>
      <c r="H6" s="11"/>
      <c r="I6" s="6" t="s">
        <v>19</v>
      </c>
    </row>
    <row r="7" customFormat="false" ht="30" hidden="false" customHeight="true" outlineLevel="0" collapsed="false">
      <c r="A7" s="7"/>
      <c r="B7" s="7"/>
      <c r="C7" s="9" t="s">
        <v>23</v>
      </c>
      <c r="D7" s="10" t="n">
        <v>3</v>
      </c>
      <c r="F7" s="12" t="s">
        <v>24</v>
      </c>
      <c r="G7" s="12"/>
      <c r="H7" s="12"/>
      <c r="I7" s="13" t="n">
        <f aca="false">SUM(D6:D9)/12</f>
        <v>1</v>
      </c>
    </row>
    <row r="8" customFormat="false" ht="30" hidden="false" customHeight="true" outlineLevel="0" collapsed="false">
      <c r="A8" s="7"/>
      <c r="B8" s="7"/>
      <c r="C8" s="9" t="s">
        <v>25</v>
      </c>
      <c r="D8" s="10" t="n">
        <v>3</v>
      </c>
      <c r="F8" s="12" t="s">
        <v>26</v>
      </c>
      <c r="G8" s="12"/>
      <c r="H8" s="12"/>
      <c r="I8" s="13" t="n">
        <f aca="false">SUM(D10:D13)/12</f>
        <v>1</v>
      </c>
    </row>
    <row r="9" customFormat="false" ht="30" hidden="false" customHeight="true" outlineLevel="0" collapsed="false">
      <c r="A9" s="7"/>
      <c r="B9" s="8"/>
      <c r="C9" s="9" t="s">
        <v>27</v>
      </c>
      <c r="D9" s="10" t="n">
        <v>3</v>
      </c>
      <c r="F9" s="12" t="s">
        <v>28</v>
      </c>
      <c r="G9" s="12"/>
      <c r="H9" s="12"/>
      <c r="I9" s="13" t="n">
        <f aca="false">SUM(D14:D17)/12</f>
        <v>1</v>
      </c>
    </row>
    <row r="10" customFormat="false" ht="30" hidden="false" customHeight="true" outlineLevel="0" collapsed="false">
      <c r="A10" s="7"/>
      <c r="B10" s="14" t="s">
        <v>29</v>
      </c>
      <c r="C10" s="9" t="s">
        <v>30</v>
      </c>
      <c r="D10" s="10" t="n">
        <v>3</v>
      </c>
      <c r="F10" s="12" t="s">
        <v>31</v>
      </c>
      <c r="G10" s="12"/>
      <c r="H10" s="12"/>
      <c r="I10" s="13" t="n">
        <f aca="false">SUM(D18:D21)/12</f>
        <v>1</v>
      </c>
    </row>
    <row r="11" customFormat="false" ht="30" hidden="false" customHeight="true" outlineLevel="0" collapsed="false">
      <c r="A11" s="7"/>
      <c r="B11" s="7"/>
      <c r="C11" s="9" t="s">
        <v>32</v>
      </c>
      <c r="D11" s="10" t="n">
        <v>3</v>
      </c>
      <c r="F11" s="15" t="s">
        <v>33</v>
      </c>
      <c r="G11" s="15"/>
      <c r="H11" s="15"/>
      <c r="I11" s="16" t="n">
        <f aca="false">AVERAGE(I7:I10)</f>
        <v>1</v>
      </c>
    </row>
    <row r="12" customFormat="false" ht="30" hidden="false" customHeight="true" outlineLevel="0" collapsed="false">
      <c r="A12" s="7"/>
      <c r="B12" s="7"/>
      <c r="C12" s="9" t="s">
        <v>34</v>
      </c>
      <c r="D12" s="10" t="n">
        <v>3</v>
      </c>
      <c r="F12" s="11" t="s">
        <v>35</v>
      </c>
      <c r="G12" s="11"/>
      <c r="H12" s="11"/>
      <c r="I12" s="6" t="s">
        <v>19</v>
      </c>
    </row>
    <row r="13" customFormat="false" ht="30" hidden="false" customHeight="true" outlineLevel="0" collapsed="false">
      <c r="A13" s="7"/>
      <c r="B13" s="14"/>
      <c r="C13" s="9" t="s">
        <v>36</v>
      </c>
      <c r="D13" s="10" t="n">
        <v>3</v>
      </c>
      <c r="F13" s="12" t="s">
        <v>37</v>
      </c>
      <c r="G13" s="12"/>
      <c r="H13" s="12"/>
      <c r="I13" s="13" t="n">
        <f aca="false">SUM(D22:D25)/12</f>
        <v>0.916666666666667</v>
      </c>
    </row>
    <row r="14" customFormat="false" ht="30" hidden="false" customHeight="true" outlineLevel="0" collapsed="false">
      <c r="A14" s="7"/>
      <c r="B14" s="17" t="s">
        <v>38</v>
      </c>
      <c r="C14" s="9" t="s">
        <v>39</v>
      </c>
      <c r="D14" s="10" t="n">
        <v>3</v>
      </c>
      <c r="F14" s="12" t="s">
        <v>40</v>
      </c>
      <c r="G14" s="12"/>
      <c r="H14" s="12"/>
      <c r="I14" s="13" t="n">
        <f aca="false">SUM(D26:D29)/12</f>
        <v>0.916666666666667</v>
      </c>
    </row>
    <row r="15" customFormat="false" ht="30" hidden="false" customHeight="true" outlineLevel="0" collapsed="false">
      <c r="A15" s="7"/>
      <c r="B15" s="7"/>
      <c r="C15" s="9" t="s">
        <v>41</v>
      </c>
      <c r="D15" s="10" t="n">
        <v>3</v>
      </c>
      <c r="F15" s="12" t="s">
        <v>42</v>
      </c>
      <c r="G15" s="12"/>
      <c r="H15" s="12"/>
      <c r="I15" s="13" t="n">
        <f aca="false">SUM(D30:D33)/12</f>
        <v>0.833333333333333</v>
      </c>
    </row>
    <row r="16" customFormat="false" ht="30" hidden="false" customHeight="true" outlineLevel="0" collapsed="false">
      <c r="A16" s="7"/>
      <c r="B16" s="7"/>
      <c r="C16" s="9" t="s">
        <v>43</v>
      </c>
      <c r="D16" s="10" t="n">
        <v>3</v>
      </c>
      <c r="F16" s="15" t="s">
        <v>44</v>
      </c>
      <c r="G16" s="15"/>
      <c r="H16" s="15"/>
      <c r="I16" s="16" t="n">
        <f aca="false">AVERAGE(I13:I15)</f>
        <v>0.888888888888889</v>
      </c>
    </row>
    <row r="17" customFormat="false" ht="30" hidden="false" customHeight="true" outlineLevel="0" collapsed="false">
      <c r="A17" s="7"/>
      <c r="B17" s="17"/>
      <c r="C17" s="9" t="s">
        <v>34</v>
      </c>
      <c r="D17" s="10" t="n">
        <v>3</v>
      </c>
      <c r="F17" s="11" t="s">
        <v>45</v>
      </c>
      <c r="G17" s="11"/>
      <c r="H17" s="11"/>
      <c r="I17" s="6" t="s">
        <v>19</v>
      </c>
    </row>
    <row r="18" customFormat="false" ht="30" hidden="false" customHeight="true" outlineLevel="0" collapsed="false">
      <c r="A18" s="7"/>
      <c r="B18" s="18" t="s">
        <v>46</v>
      </c>
      <c r="C18" s="9" t="s">
        <v>47</v>
      </c>
      <c r="D18" s="10" t="n">
        <v>3</v>
      </c>
      <c r="F18" s="12" t="s">
        <v>48</v>
      </c>
      <c r="G18" s="12"/>
      <c r="H18" s="12"/>
      <c r="I18" s="13" t="n">
        <f aca="false">SUM(D34:D37)/12</f>
        <v>1</v>
      </c>
    </row>
    <row r="19" customFormat="false" ht="30" hidden="false" customHeight="true" outlineLevel="0" collapsed="false">
      <c r="A19" s="7"/>
      <c r="B19" s="7"/>
      <c r="C19" s="9" t="s">
        <v>49</v>
      </c>
      <c r="D19" s="10" t="n">
        <v>3</v>
      </c>
      <c r="F19" s="12" t="s">
        <v>50</v>
      </c>
      <c r="G19" s="12"/>
      <c r="H19" s="12"/>
      <c r="I19" s="13" t="n">
        <f aca="false">SUM(D38:D41)/12</f>
        <v>0.916666666666667</v>
      </c>
    </row>
    <row r="20" customFormat="false" ht="30" hidden="false" customHeight="true" outlineLevel="0" collapsed="false">
      <c r="A20" s="7"/>
      <c r="B20" s="7"/>
      <c r="C20" s="9" t="s">
        <v>51</v>
      </c>
      <c r="D20" s="10" t="n">
        <v>3</v>
      </c>
      <c r="F20" s="15" t="s">
        <v>52</v>
      </c>
      <c r="G20" s="15"/>
      <c r="H20" s="15"/>
      <c r="I20" s="16" t="n">
        <f aca="false">AVERAGE(I18:I19)</f>
        <v>0.958333333333333</v>
      </c>
    </row>
    <row r="21" customFormat="false" ht="30" hidden="false" customHeight="true" outlineLevel="0" collapsed="false">
      <c r="A21" s="7"/>
      <c r="B21" s="7"/>
      <c r="C21" s="9" t="s">
        <v>34</v>
      </c>
      <c r="D21" s="10" t="n">
        <v>3</v>
      </c>
      <c r="F21" s="19" t="s">
        <v>53</v>
      </c>
      <c r="G21" s="19"/>
      <c r="H21" s="19"/>
      <c r="I21" s="20" t="n">
        <f aca="false">AVERAGE(I7,I12,I16,I20,I24)</f>
        <v>0.949074074074074</v>
      </c>
    </row>
    <row r="22" customFormat="false" ht="30" hidden="false" customHeight="true" outlineLevel="0" collapsed="false">
      <c r="A22" s="14" t="s">
        <v>54</v>
      </c>
      <c r="B22" s="8" t="s">
        <v>55</v>
      </c>
      <c r="C22" s="9" t="s">
        <v>56</v>
      </c>
      <c r="D22" s="10" t="n">
        <v>3</v>
      </c>
    </row>
    <row r="23" customFormat="false" ht="30" hidden="false" customHeight="true" outlineLevel="0" collapsed="false">
      <c r="A23" s="14"/>
      <c r="B23" s="14"/>
      <c r="C23" s="9" t="s">
        <v>57</v>
      </c>
      <c r="D23" s="10" t="n">
        <v>3</v>
      </c>
    </row>
    <row r="24" customFormat="false" ht="30" hidden="false" customHeight="true" outlineLevel="0" collapsed="false">
      <c r="A24" s="14"/>
      <c r="B24" s="14"/>
      <c r="C24" s="9" t="s">
        <v>58</v>
      </c>
      <c r="D24" s="10" t="n">
        <v>3</v>
      </c>
    </row>
    <row r="25" customFormat="false" ht="30" hidden="false" customHeight="true" outlineLevel="0" collapsed="false">
      <c r="A25" s="14"/>
      <c r="B25" s="8"/>
      <c r="C25" s="9" t="s">
        <v>59</v>
      </c>
      <c r="D25" s="21" t="n">
        <v>2</v>
      </c>
    </row>
    <row r="26" customFormat="false" ht="30" hidden="false" customHeight="true" outlineLevel="0" collapsed="false">
      <c r="A26" s="14"/>
      <c r="B26" s="14" t="s">
        <v>60</v>
      </c>
      <c r="C26" s="9" t="s">
        <v>61</v>
      </c>
      <c r="D26" s="10" t="n">
        <v>3</v>
      </c>
    </row>
    <row r="27" customFormat="false" ht="30" hidden="false" customHeight="true" outlineLevel="0" collapsed="false">
      <c r="A27" s="14"/>
      <c r="B27" s="14"/>
      <c r="C27" s="9" t="s">
        <v>62</v>
      </c>
      <c r="D27" s="10" t="n">
        <v>3</v>
      </c>
    </row>
    <row r="28" customFormat="false" ht="30" hidden="false" customHeight="true" outlineLevel="0" collapsed="false">
      <c r="A28" s="14"/>
      <c r="B28" s="14"/>
      <c r="C28" s="9" t="s">
        <v>63</v>
      </c>
      <c r="D28" s="21" t="n">
        <v>2</v>
      </c>
    </row>
    <row r="29" customFormat="false" ht="30" hidden="false" customHeight="true" outlineLevel="0" collapsed="false">
      <c r="A29" s="14"/>
      <c r="B29" s="14"/>
      <c r="C29" s="9" t="s">
        <v>64</v>
      </c>
      <c r="D29" s="10" t="n">
        <v>3</v>
      </c>
    </row>
    <row r="30" customFormat="false" ht="30" hidden="false" customHeight="true" outlineLevel="0" collapsed="false">
      <c r="A30" s="14"/>
      <c r="B30" s="17" t="s">
        <v>65</v>
      </c>
      <c r="C30" s="9" t="s">
        <v>66</v>
      </c>
      <c r="D30" s="10" t="n">
        <v>3</v>
      </c>
    </row>
    <row r="31" customFormat="false" ht="30" hidden="false" customHeight="true" outlineLevel="0" collapsed="false">
      <c r="A31" s="14"/>
      <c r="B31" s="14"/>
      <c r="C31" s="9" t="s">
        <v>67</v>
      </c>
      <c r="D31" s="10" t="n">
        <v>3</v>
      </c>
    </row>
    <row r="32" customFormat="false" ht="30" hidden="false" customHeight="true" outlineLevel="0" collapsed="false">
      <c r="A32" s="14"/>
      <c r="B32" s="14"/>
      <c r="C32" s="9" t="s">
        <v>68</v>
      </c>
      <c r="D32" s="21" t="n">
        <v>2</v>
      </c>
    </row>
    <row r="33" customFormat="false" ht="30" hidden="false" customHeight="true" outlineLevel="0" collapsed="false">
      <c r="A33" s="14"/>
      <c r="B33" s="14"/>
      <c r="C33" s="9" t="s">
        <v>69</v>
      </c>
      <c r="D33" s="21" t="n">
        <v>2</v>
      </c>
    </row>
    <row r="34" customFormat="false" ht="30" hidden="false" customHeight="true" outlineLevel="0" collapsed="false">
      <c r="A34" s="17" t="s">
        <v>70</v>
      </c>
      <c r="B34" s="8" t="s">
        <v>71</v>
      </c>
      <c r="C34" s="9" t="s">
        <v>72</v>
      </c>
      <c r="D34" s="10" t="n">
        <v>3</v>
      </c>
    </row>
    <row r="35" customFormat="false" ht="30" hidden="false" customHeight="true" outlineLevel="0" collapsed="false">
      <c r="A35" s="17"/>
      <c r="B35" s="17"/>
      <c r="C35" s="9" t="s">
        <v>73</v>
      </c>
      <c r="D35" s="10" t="n">
        <v>3</v>
      </c>
    </row>
    <row r="36" customFormat="false" ht="30" hidden="false" customHeight="true" outlineLevel="0" collapsed="false">
      <c r="A36" s="17"/>
      <c r="B36" s="17"/>
      <c r="C36" s="9" t="s">
        <v>74</v>
      </c>
      <c r="D36" s="10" t="n">
        <v>3</v>
      </c>
    </row>
    <row r="37" customFormat="false" ht="30" hidden="false" customHeight="true" outlineLevel="0" collapsed="false">
      <c r="A37" s="17"/>
      <c r="B37" s="8"/>
      <c r="C37" s="9" t="s">
        <v>75</v>
      </c>
      <c r="D37" s="10" t="n">
        <v>3</v>
      </c>
    </row>
    <row r="38" customFormat="false" ht="30" hidden="false" customHeight="true" outlineLevel="0" collapsed="false">
      <c r="A38" s="17"/>
      <c r="B38" s="14" t="s">
        <v>50</v>
      </c>
      <c r="C38" s="9" t="s">
        <v>76</v>
      </c>
      <c r="D38" s="10" t="n">
        <v>3</v>
      </c>
    </row>
    <row r="39" customFormat="false" ht="30" hidden="false" customHeight="true" outlineLevel="0" collapsed="false">
      <c r="A39" s="17"/>
      <c r="B39" s="17"/>
      <c r="C39" s="9" t="s">
        <v>77</v>
      </c>
      <c r="D39" s="10" t="n">
        <v>3</v>
      </c>
    </row>
    <row r="40" customFormat="false" ht="30" hidden="false" customHeight="true" outlineLevel="0" collapsed="false">
      <c r="A40" s="17"/>
      <c r="B40" s="17"/>
      <c r="C40" s="9" t="s">
        <v>78</v>
      </c>
      <c r="D40" s="21" t="n">
        <v>2</v>
      </c>
    </row>
    <row r="41" customFormat="false" ht="30" hidden="false" customHeight="true" outlineLevel="0" collapsed="false">
      <c r="A41" s="17"/>
      <c r="B41" s="17"/>
      <c r="C41" s="9" t="s">
        <v>79</v>
      </c>
      <c r="D41" s="10" t="n">
        <v>3</v>
      </c>
    </row>
  </sheetData>
  <mergeCells count="31">
    <mergeCell ref="A1:D1"/>
    <mergeCell ref="F1:I1"/>
    <mergeCell ref="L1:O1"/>
    <mergeCell ref="A6:A21"/>
    <mergeCell ref="B6:B9"/>
    <mergeCell ref="F6:H6"/>
    <mergeCell ref="F7:H7"/>
    <mergeCell ref="F8:H8"/>
    <mergeCell ref="F9:H9"/>
    <mergeCell ref="B10:B13"/>
    <mergeCell ref="F10:H10"/>
    <mergeCell ref="F11:H11"/>
    <mergeCell ref="F12:H12"/>
    <mergeCell ref="F13:H13"/>
    <mergeCell ref="B14:B17"/>
    <mergeCell ref="F14:H14"/>
    <mergeCell ref="F15:H15"/>
    <mergeCell ref="F16:H16"/>
    <mergeCell ref="F17:H17"/>
    <mergeCell ref="B18:B21"/>
    <mergeCell ref="F18:H18"/>
    <mergeCell ref="F19:H19"/>
    <mergeCell ref="F20:H20"/>
    <mergeCell ref="F21:H21"/>
    <mergeCell ref="A22:A33"/>
    <mergeCell ref="B22:B25"/>
    <mergeCell ref="B26:B29"/>
    <mergeCell ref="B30:B33"/>
    <mergeCell ref="A34:A41"/>
    <mergeCell ref="B34:B37"/>
    <mergeCell ref="B38:B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30"/>
  </cols>
  <sheetData>
    <row r="1" customFormat="false" ht="27.75" hidden="false" customHeight="true" outlineLevel="0" collapsed="false">
      <c r="A1" s="22" t="s">
        <v>80</v>
      </c>
      <c r="B1" s="22"/>
      <c r="C1" s="22"/>
    </row>
    <row r="2" customFormat="false" ht="19.5" hidden="false" customHeight="true" outlineLevel="0" collapsed="false">
      <c r="A2" s="6" t="s">
        <v>81</v>
      </c>
      <c r="B2" s="6" t="s">
        <v>82</v>
      </c>
      <c r="C2" s="6" t="s">
        <v>83</v>
      </c>
    </row>
    <row r="3" customFormat="false" ht="19.5" hidden="false" customHeight="true" outlineLevel="0" collapsed="false">
      <c r="A3" s="23" t="s">
        <v>84</v>
      </c>
      <c r="B3" s="13" t="n">
        <f aca="false">Checklist!I7</f>
        <v>1</v>
      </c>
      <c r="C3" s="24" t="str">
        <f aca="false">IF(B3&gt;=0.8,"✓ Logrado",IF(B3&gt;=0.6,"~ Medianamente Logrado","✗ Insuficiente"))</f>
        <v>✓ Logrado</v>
      </c>
    </row>
    <row r="4" customFormat="false" ht="19.5" hidden="false" customHeight="true" outlineLevel="0" collapsed="false">
      <c r="A4" s="23" t="s">
        <v>85</v>
      </c>
      <c r="B4" s="13" t="n">
        <f aca="false">Checklist!I8</f>
        <v>1</v>
      </c>
      <c r="C4" s="24" t="str">
        <f aca="false">IF(B4&gt;=0.8,"✓ Logrado",IF(B4&gt;=0.6,"~ Medianamente Logrado","✗ Insuficiente"))</f>
        <v>✓ Logrado</v>
      </c>
    </row>
    <row r="5" customFormat="false" ht="19.5" hidden="false" customHeight="true" outlineLevel="0" collapsed="false">
      <c r="A5" s="23" t="s">
        <v>86</v>
      </c>
      <c r="B5" s="13" t="n">
        <f aca="false">Checklist!I9</f>
        <v>1</v>
      </c>
      <c r="C5" s="24" t="str">
        <f aca="false">IF(B5&gt;=0.8,"✓ Logrado",IF(B5&gt;=0.6,"~ Medianamente Logrado","✗ Insuficiente"))</f>
        <v>✓ Logrado</v>
      </c>
    </row>
    <row r="6" customFormat="false" ht="19.5" hidden="false" customHeight="true" outlineLevel="0" collapsed="false">
      <c r="A6" s="23" t="s">
        <v>87</v>
      </c>
      <c r="B6" s="13" t="n">
        <f aca="false">Checklist!I10</f>
        <v>1</v>
      </c>
      <c r="C6" s="24" t="str">
        <f aca="false">IF(B6&gt;=0.8,"✓ Logrado",IF(B6&gt;=0.6,"~ Medianamente Logrado","✗ Insuficiente"))</f>
        <v>✓ Logrado</v>
      </c>
    </row>
    <row r="7" customFormat="false" ht="19.5" hidden="false" customHeight="true" outlineLevel="0" collapsed="false">
      <c r="A7" s="23" t="s">
        <v>88</v>
      </c>
      <c r="B7" s="13" t="str">
        <f aca="false">Checklist!I12</f>
        <v>MEDIA</v>
      </c>
      <c r="C7" s="24" t="str">
        <f aca="false">IF(B7&gt;=0.8,"✓ Logrado",IF(B7&gt;=0.6,"~ Medianamente Logrado","✗ Insuficiente"))</f>
        <v>✓ Logrado</v>
      </c>
    </row>
    <row r="8" customFormat="false" ht="19.5" hidden="false" customHeight="true" outlineLevel="0" collapsed="false">
      <c r="A8" s="23" t="s">
        <v>89</v>
      </c>
      <c r="B8" s="13" t="n">
        <f aca="false">Checklist!I13</f>
        <v>0.916666666666667</v>
      </c>
      <c r="C8" s="24" t="str">
        <f aca="false">IF(B8&gt;=0.8,"✓ Logrado",IF(B8&gt;=0.6,"~ Medianamente Logrado","✗ Insuficiente"))</f>
        <v>✓ Logrado</v>
      </c>
    </row>
    <row r="9" customFormat="false" ht="19.5" hidden="false" customHeight="true" outlineLevel="0" collapsed="false">
      <c r="A9" s="23" t="s">
        <v>90</v>
      </c>
      <c r="B9" s="13" t="n">
        <f aca="false">Checklist!I14</f>
        <v>0.916666666666667</v>
      </c>
      <c r="C9" s="24" t="str">
        <f aca="false">IF(B9&gt;=0.8,"✓ Logrado",IF(B9&gt;=0.6,"~ Medianamente Logrado","✗ Insuficiente"))</f>
        <v>✓ Logrado</v>
      </c>
    </row>
    <row r="10" customFormat="false" ht="19.5" hidden="false" customHeight="true" outlineLevel="0" collapsed="false">
      <c r="A10" s="23" t="s">
        <v>91</v>
      </c>
      <c r="B10" s="13" t="n">
        <f aca="false">Checklist!I16</f>
        <v>0.888888888888889</v>
      </c>
      <c r="C10" s="24" t="str">
        <f aca="false">IF(B10&gt;=0.8,"✓ Logrado",IF(B10&gt;=0.6,"~ Medianamente Logrado","✗ Insuficiente"))</f>
        <v>✓ Logrado</v>
      </c>
    </row>
    <row r="11" customFormat="false" ht="19.5" hidden="false" customHeight="true" outlineLevel="0" collapsed="false">
      <c r="A11" s="23" t="s">
        <v>92</v>
      </c>
      <c r="B11" s="13" t="str">
        <f aca="false">Checklist!I17</f>
        <v>MEDIA</v>
      </c>
      <c r="C11" s="24" t="str">
        <f aca="false">IF(B11&gt;=0.8,"✓ Logrado",IF(B11&gt;=0.6,"~ Medianamente Logrado","✗ Insuficiente"))</f>
        <v>✓ Logrado</v>
      </c>
    </row>
    <row r="12" customFormat="false" ht="21.75" hidden="false" customHeight="true" outlineLevel="0" collapsed="false">
      <c r="A12" s="25" t="s">
        <v>93</v>
      </c>
      <c r="B12" s="16" t="n">
        <f aca="false">AVERAGE(B3:B11)</f>
        <v>0.96031746031746</v>
      </c>
      <c r="C12" s="26" t="str">
        <f aca="false">IF(B12&gt;=0.8,"✓ Completamente Logrado",IF(B12&gt;=0.6,"~ Medianamente Logrado","✗ Insuficiente"))</f>
        <v>✓ Completamente Logrado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2026-04-14T03:59:05Z</dcterms:created>
  <dc:creator>openpyxl</dc:creator>
  <dc:description/>
  <dc:language>en-US</dc:language>
  <cp:lastModifiedBy/>
  <dcterms:modified xsi:type="dcterms:W3CDTF">2026-04-14T03:59:05Z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